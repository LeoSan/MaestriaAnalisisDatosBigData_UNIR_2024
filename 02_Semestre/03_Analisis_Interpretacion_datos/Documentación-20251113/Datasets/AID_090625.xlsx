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  <sheet state="visible" name="Grupo" sheetId="2" r:id="rId5"/>
    <sheet state="visible" name="Género" sheetId="3" r:id="rId6"/>
    <sheet state="visible" name="Hijos" sheetId="4" r:id="rId7"/>
    <sheet state="visible" name="Mascotas" sheetId="5" r:id="rId8"/>
    <sheet state="visible" name="Estatura" sheetId="6" r:id="rId9"/>
  </sheets>
  <definedNames>
    <definedName hidden="1" localSheetId="0" name="_xlnm._FilterDatabase">Datos!$A$1:$J$49</definedName>
  </definedNames>
  <calcPr/>
</workbook>
</file>

<file path=xl/sharedStrings.xml><?xml version="1.0" encoding="utf-8"?>
<sst xmlns="http://schemas.openxmlformats.org/spreadsheetml/2006/main" count="237" uniqueCount="72">
  <si>
    <t>Grupo</t>
  </si>
  <si>
    <t>Género</t>
  </si>
  <si>
    <t>Edad</t>
  </si>
  <si>
    <t>Estatura (metros)</t>
  </si>
  <si>
    <t>Nivel educativo</t>
  </si>
  <si>
    <t>Ciudad</t>
  </si>
  <si>
    <t>País</t>
  </si>
  <si>
    <t>Número de hijos</t>
  </si>
  <si>
    <t>Número de mascotas</t>
  </si>
  <si>
    <t>Temperatura ambiente</t>
  </si>
  <si>
    <t>M</t>
  </si>
  <si>
    <t>Licenciatura</t>
  </si>
  <si>
    <t>guadalupe</t>
  </si>
  <si>
    <t>México</t>
  </si>
  <si>
    <t>Pachuca</t>
  </si>
  <si>
    <t>Maestría</t>
  </si>
  <si>
    <t>CDMX</t>
  </si>
  <si>
    <t>Apodaca</t>
  </si>
  <si>
    <t>Montevideo</t>
  </si>
  <si>
    <t>Uruguay</t>
  </si>
  <si>
    <t>Mixco</t>
  </si>
  <si>
    <t>Guatemala</t>
  </si>
  <si>
    <t>Toluca</t>
  </si>
  <si>
    <t>Chihuahua</t>
  </si>
  <si>
    <t>Durango</t>
  </si>
  <si>
    <t>F</t>
  </si>
  <si>
    <t>Santo Domingo</t>
  </si>
  <si>
    <t>República Dominicana</t>
  </si>
  <si>
    <t>Tegucigalpa</t>
  </si>
  <si>
    <t>Honduras</t>
  </si>
  <si>
    <t>Reynosa</t>
  </si>
  <si>
    <t>Mexico</t>
  </si>
  <si>
    <t>Jalisco</t>
  </si>
  <si>
    <t>Ciudad Juárez</t>
  </si>
  <si>
    <t>Leon</t>
  </si>
  <si>
    <t>Oaxaca</t>
  </si>
  <si>
    <t>San Luis Potosi</t>
  </si>
  <si>
    <t>Guadalajara</t>
  </si>
  <si>
    <t>Penonomé</t>
  </si>
  <si>
    <t>Panamá</t>
  </si>
  <si>
    <t>Maestria</t>
  </si>
  <si>
    <t>El Progreso</t>
  </si>
  <si>
    <t xml:space="preserve">Licenciatura </t>
  </si>
  <si>
    <t>Mérida</t>
  </si>
  <si>
    <t>Morelia</t>
  </si>
  <si>
    <t>Querétaro</t>
  </si>
  <si>
    <t xml:space="preserve">Guadalajara </t>
  </si>
  <si>
    <t>Michoacán</t>
  </si>
  <si>
    <t>Monterrey</t>
  </si>
  <si>
    <t>San Salvador</t>
  </si>
  <si>
    <t>El Salvador</t>
  </si>
  <si>
    <t>Nezahualcoyotl</t>
  </si>
  <si>
    <t>Minimo</t>
  </si>
  <si>
    <t>Maximo</t>
  </si>
  <si>
    <t>Frecuencia absoluta</t>
  </si>
  <si>
    <t>Frecuencia relativa</t>
  </si>
  <si>
    <t>Frecuencia acumulada</t>
  </si>
  <si>
    <t>Frecuencias</t>
  </si>
  <si>
    <t>No. hijos</t>
  </si>
  <si>
    <t>Rango</t>
  </si>
  <si>
    <t>20-35</t>
  </si>
  <si>
    <t>36-50</t>
  </si>
  <si>
    <t>51-70</t>
  </si>
  <si>
    <t>No. mascotas</t>
  </si>
  <si>
    <t>Estatura</t>
  </si>
  <si>
    <t>Frecuencia</t>
  </si>
  <si>
    <t>1.5-1.57</t>
  </si>
  <si>
    <t>1.58-1.63</t>
  </si>
  <si>
    <t>1.64-1.70</t>
  </si>
  <si>
    <t>1.71-1.77</t>
  </si>
  <si>
    <t>1.78-1.83</t>
  </si>
  <si>
    <t>1.84-1.90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</si>
</sst>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0" xfId="0" applyFont="1"/>
    <xf borderId="0" fillId="0" fontId="1" numFmtId="10" xfId="0" applyFont="1" applyNumberFormat="1"/>
    <xf borderId="0" fillId="3" fontId="2" numFmtId="0" xfId="0" applyFill="1" applyFont="1"/>
    <xf borderId="0" fillId="0" fontId="1" numFmtId="0" xfId="0" applyAlignment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4" fontId="1" numFmtId="0" xfId="0" applyAlignment="1" applyFont="1">
      <alignment readingOrder="0"/>
    </xf>
    <xf borderId="0" fillId="5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Grupos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Grupo!$A$2:$A$11</c:f>
            </c:strRef>
          </c:cat>
          <c:val>
            <c:numRef>
              <c:f>Grupo!$B$2:$B$11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Frecuencia absoluta vs. Grupo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Grupo!$A$2:$A$11</c:f>
            </c:strRef>
          </c:cat>
          <c:val>
            <c:numRef>
              <c:f>Grupo!$B$2:$B$11</c:f>
              <c:numCache/>
            </c:numRef>
          </c:val>
        </c:ser>
        <c:axId val="516714646"/>
        <c:axId val="710124487"/>
      </c:barChart>
      <c:catAx>
        <c:axId val="5167146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Grupo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0124487"/>
      </c:catAx>
      <c:valAx>
        <c:axId val="7101244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Frecuencia absoluta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67146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Genero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'Género'!$C$2:$C$3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0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Hijos!$E$4:$E$6</c:f>
              <c:numCache/>
            </c:numRef>
          </c:val>
        </c:ser>
        <c:ser>
          <c:idx val="1"/>
          <c:order val="1"/>
          <c:tx>
            <c:v>1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Hijos!$F$4:$F$6</c:f>
              <c:numCache/>
            </c:numRef>
          </c:val>
        </c:ser>
        <c:ser>
          <c:idx val="2"/>
          <c:order val="2"/>
          <c:tx>
            <c:v>2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Hijos!$G$4:$G$6</c:f>
              <c:numCache/>
            </c:numRef>
          </c:val>
        </c:ser>
        <c:ser>
          <c:idx val="3"/>
          <c:order val="3"/>
          <c:tx>
            <c:v>3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Hijos!$H$4:$H$6</c:f>
              <c:numCache/>
            </c:numRef>
          </c:val>
        </c:ser>
        <c:axId val="530632233"/>
        <c:axId val="1078901869"/>
      </c:barChart>
      <c:catAx>
        <c:axId val="5306322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8901869"/>
      </c:catAx>
      <c:valAx>
        <c:axId val="10789018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06322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7424999999999997"/>
          <c:y val="0.06617250673854451"/>
          <c:w val="0.8015833333333334"/>
          <c:h val="0.867654986522911"/>
        </c:manualLayout>
      </c:layout>
      <c:barChart>
        <c:barDir val="col"/>
        <c:ser>
          <c:idx val="0"/>
          <c:order val="0"/>
          <c:tx>
            <c:v>0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Mascotas!$E$4:$E$6</c:f>
              <c:numCache/>
            </c:numRef>
          </c:val>
        </c:ser>
        <c:ser>
          <c:idx val="1"/>
          <c:order val="1"/>
          <c:tx>
            <c:v>1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Mascotas!$F$4:$F$6</c:f>
              <c:numCache/>
            </c:numRef>
          </c:val>
        </c:ser>
        <c:ser>
          <c:idx val="2"/>
          <c:order val="2"/>
          <c:tx>
            <c:v>2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Mascotas!$G$4:$G$6</c:f>
              <c:numCache/>
            </c:numRef>
          </c:val>
        </c:ser>
        <c:ser>
          <c:idx val="3"/>
          <c:order val="3"/>
          <c:tx>
            <c:v>3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Mascotas!$H$4:$H$6</c:f>
              <c:numCache/>
            </c:numRef>
          </c:val>
        </c:ser>
        <c:ser>
          <c:idx val="4"/>
          <c:order val="4"/>
          <c:tx>
            <c:v>5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val>
            <c:numRef>
              <c:f>Mascotas!$I$4:$I$6</c:f>
              <c:numCache/>
            </c:numRef>
          </c:val>
        </c:ser>
        <c:axId val="815362948"/>
        <c:axId val="1812363832"/>
      </c:barChart>
      <c:catAx>
        <c:axId val="8153629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2363832"/>
      </c:catAx>
      <c:valAx>
        <c:axId val="181236383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5362948"/>
      </c:valAx>
    </c:plotArea>
    <c:legend>
      <c:legendPos val="r"/>
      <c:layout>
        <c:manualLayout>
          <c:xMode val="edge"/>
          <c:yMode val="edge"/>
          <c:x val="0.9140333333333335"/>
          <c:y val="0.04730458221024259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371475</xdr:colOff>
      <xdr:row>14</xdr:row>
      <xdr:rowOff>95250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600075</xdr:colOff>
      <xdr:row>1</xdr:row>
      <xdr:rowOff>47625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1181100</xdr:colOff>
      <xdr:row>8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10</xdr:row>
      <xdr:rowOff>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10</xdr:row>
      <xdr:rowOff>190500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13.88"/>
    <col customWidth="1" min="7" max="7" width="17.75"/>
    <col customWidth="1" min="8" max="8" width="17.5"/>
    <col customWidth="1" min="9" max="9" width="20.13"/>
    <col customWidth="1" min="10" max="10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2006.0</v>
      </c>
      <c r="B2" s="2" t="s">
        <v>10</v>
      </c>
      <c r="C2" s="2">
        <v>41.0</v>
      </c>
      <c r="D2" s="2">
        <v>1.69</v>
      </c>
      <c r="E2" s="2" t="s">
        <v>11</v>
      </c>
      <c r="F2" s="2" t="s">
        <v>12</v>
      </c>
      <c r="G2" s="2" t="s">
        <v>13</v>
      </c>
      <c r="H2" s="2">
        <v>0.0</v>
      </c>
      <c r="I2" s="2">
        <v>2.0</v>
      </c>
      <c r="J2" s="2">
        <v>33.0</v>
      </c>
    </row>
    <row r="3">
      <c r="A3" s="2">
        <v>2005.0</v>
      </c>
      <c r="B3" s="2" t="s">
        <v>10</v>
      </c>
      <c r="C3" s="2">
        <v>34.0</v>
      </c>
      <c r="D3" s="2">
        <v>1.7</v>
      </c>
      <c r="E3" s="2" t="s">
        <v>11</v>
      </c>
      <c r="F3" s="2" t="s">
        <v>14</v>
      </c>
      <c r="G3" s="2" t="s">
        <v>13</v>
      </c>
      <c r="H3" s="2">
        <v>0.0</v>
      </c>
      <c r="I3" s="2">
        <v>5.0</v>
      </c>
      <c r="J3" s="2">
        <v>26.0</v>
      </c>
    </row>
    <row r="4">
      <c r="A4" s="2">
        <v>1009.0</v>
      </c>
      <c r="B4" s="2" t="s">
        <v>10</v>
      </c>
      <c r="C4" s="2">
        <v>68.0</v>
      </c>
      <c r="D4" s="2">
        <v>1.71</v>
      </c>
      <c r="E4" s="2" t="s">
        <v>15</v>
      </c>
      <c r="F4" s="2" t="s">
        <v>16</v>
      </c>
      <c r="G4" s="2" t="s">
        <v>13</v>
      </c>
      <c r="H4" s="2">
        <v>2.0</v>
      </c>
      <c r="I4" s="2">
        <v>1.0</v>
      </c>
      <c r="J4" s="2">
        <v>26.0</v>
      </c>
    </row>
    <row r="5">
      <c r="A5" s="2">
        <v>2006.0</v>
      </c>
      <c r="B5" s="2" t="s">
        <v>10</v>
      </c>
      <c r="C5" s="2">
        <v>47.0</v>
      </c>
      <c r="D5" s="2">
        <v>1.7</v>
      </c>
      <c r="E5" s="2" t="s">
        <v>15</v>
      </c>
      <c r="F5" s="2" t="s">
        <v>17</v>
      </c>
      <c r="G5" s="2" t="s">
        <v>13</v>
      </c>
      <c r="H5" s="2">
        <v>0.0</v>
      </c>
      <c r="I5" s="2">
        <v>3.0</v>
      </c>
      <c r="J5" s="2">
        <v>35.0</v>
      </c>
    </row>
    <row r="6">
      <c r="A6" s="2">
        <v>2009.0</v>
      </c>
      <c r="B6" s="2" t="s">
        <v>10</v>
      </c>
      <c r="C6" s="2">
        <v>44.0</v>
      </c>
      <c r="D6" s="2">
        <v>1.8</v>
      </c>
      <c r="E6" s="2" t="s">
        <v>11</v>
      </c>
      <c r="F6" s="2" t="s">
        <v>18</v>
      </c>
      <c r="G6" s="2" t="s">
        <v>19</v>
      </c>
      <c r="H6" s="2">
        <v>2.0</v>
      </c>
      <c r="I6" s="2">
        <v>3.0</v>
      </c>
      <c r="J6" s="2">
        <v>8.0</v>
      </c>
    </row>
    <row r="7">
      <c r="A7" s="2">
        <v>2018.0</v>
      </c>
      <c r="B7" s="2" t="s">
        <v>10</v>
      </c>
      <c r="C7" s="2">
        <v>29.0</v>
      </c>
      <c r="D7" s="2">
        <v>1.7</v>
      </c>
      <c r="E7" s="2" t="s">
        <v>15</v>
      </c>
      <c r="F7" s="2" t="s">
        <v>20</v>
      </c>
      <c r="G7" s="2" t="s">
        <v>21</v>
      </c>
      <c r="H7" s="2">
        <v>0.0</v>
      </c>
      <c r="I7" s="2">
        <v>0.0</v>
      </c>
      <c r="J7" s="2">
        <v>19.0</v>
      </c>
    </row>
    <row r="8">
      <c r="A8" s="2">
        <v>2006.0</v>
      </c>
      <c r="B8" s="2" t="s">
        <v>10</v>
      </c>
      <c r="C8" s="2">
        <v>45.0</v>
      </c>
      <c r="D8" s="2">
        <v>1.79</v>
      </c>
      <c r="E8" s="2" t="s">
        <v>11</v>
      </c>
      <c r="F8" s="2" t="s">
        <v>22</v>
      </c>
      <c r="G8" s="2" t="s">
        <v>13</v>
      </c>
      <c r="H8" s="2">
        <v>2.0</v>
      </c>
      <c r="I8" s="2">
        <v>0.0</v>
      </c>
      <c r="J8" s="2">
        <v>17.0</v>
      </c>
    </row>
    <row r="9">
      <c r="A9" s="2">
        <v>2018.0</v>
      </c>
      <c r="B9" s="2" t="s">
        <v>10</v>
      </c>
      <c r="C9" s="2">
        <v>24.0</v>
      </c>
      <c r="D9" s="2">
        <v>1.77</v>
      </c>
      <c r="E9" s="2" t="s">
        <v>11</v>
      </c>
      <c r="F9" s="2" t="s">
        <v>23</v>
      </c>
      <c r="G9" s="2" t="s">
        <v>13</v>
      </c>
      <c r="H9" s="2">
        <v>0.0</v>
      </c>
      <c r="I9" s="2">
        <v>2.0</v>
      </c>
      <c r="J9" s="2">
        <v>38.0</v>
      </c>
    </row>
    <row r="10">
      <c r="A10" s="2">
        <v>2018.0</v>
      </c>
      <c r="B10" s="2" t="s">
        <v>10</v>
      </c>
      <c r="C10" s="2">
        <v>30.0</v>
      </c>
      <c r="D10" s="2">
        <v>1.75</v>
      </c>
      <c r="E10" s="2" t="s">
        <v>15</v>
      </c>
      <c r="F10" s="2" t="s">
        <v>16</v>
      </c>
      <c r="G10" s="2" t="s">
        <v>13</v>
      </c>
      <c r="H10" s="2">
        <v>1.0</v>
      </c>
      <c r="I10" s="2">
        <v>0.0</v>
      </c>
      <c r="J10" s="2">
        <v>26.0</v>
      </c>
    </row>
    <row r="11">
      <c r="A11" s="2">
        <v>2005.0</v>
      </c>
      <c r="B11" s="2" t="s">
        <v>10</v>
      </c>
      <c r="C11" s="2">
        <v>24.0</v>
      </c>
      <c r="D11" s="2">
        <v>1.76</v>
      </c>
      <c r="E11" s="2" t="s">
        <v>11</v>
      </c>
      <c r="F11" s="2" t="s">
        <v>24</v>
      </c>
      <c r="G11" s="2" t="s">
        <v>13</v>
      </c>
      <c r="H11" s="2">
        <v>0.0</v>
      </c>
      <c r="I11" s="2">
        <v>0.0</v>
      </c>
      <c r="J11" s="2">
        <v>26.0</v>
      </c>
    </row>
    <row r="12">
      <c r="A12" s="2">
        <v>2005.0</v>
      </c>
      <c r="B12" s="2" t="s">
        <v>10</v>
      </c>
      <c r="C12" s="2">
        <v>56.0</v>
      </c>
      <c r="D12" s="2">
        <v>1.6</v>
      </c>
      <c r="E12" s="2" t="s">
        <v>11</v>
      </c>
      <c r="F12" s="2" t="s">
        <v>16</v>
      </c>
      <c r="G12" s="2" t="s">
        <v>13</v>
      </c>
      <c r="H12" s="2">
        <v>2.0</v>
      </c>
      <c r="I12" s="2">
        <v>1.0</v>
      </c>
      <c r="J12" s="2">
        <v>25.0</v>
      </c>
    </row>
    <row r="13">
      <c r="A13" s="2">
        <v>2006.0</v>
      </c>
      <c r="B13" s="2" t="s">
        <v>25</v>
      </c>
      <c r="C13" s="2">
        <v>32.0</v>
      </c>
      <c r="D13" s="2">
        <v>1.55</v>
      </c>
      <c r="E13" s="2" t="s">
        <v>11</v>
      </c>
      <c r="F13" s="2" t="s">
        <v>16</v>
      </c>
      <c r="G13" s="2" t="s">
        <v>13</v>
      </c>
      <c r="H13" s="2">
        <v>0.0</v>
      </c>
      <c r="I13" s="2">
        <v>2.0</v>
      </c>
      <c r="J13" s="2">
        <v>26.0</v>
      </c>
    </row>
    <row r="14">
      <c r="A14" s="2">
        <v>2001.0</v>
      </c>
      <c r="B14" s="2" t="s">
        <v>10</v>
      </c>
      <c r="C14" s="2">
        <v>27.0</v>
      </c>
      <c r="D14" s="2">
        <v>1.9</v>
      </c>
      <c r="E14" s="2" t="s">
        <v>11</v>
      </c>
      <c r="F14" s="2" t="s">
        <v>26</v>
      </c>
      <c r="G14" s="2" t="s">
        <v>27</v>
      </c>
      <c r="H14" s="2">
        <v>0.0</v>
      </c>
      <c r="I14" s="2">
        <v>0.0</v>
      </c>
      <c r="J14" s="2">
        <v>25.0</v>
      </c>
    </row>
    <row r="15">
      <c r="A15" s="2">
        <v>2003.0</v>
      </c>
      <c r="B15" s="2" t="s">
        <v>10</v>
      </c>
      <c r="C15" s="2">
        <v>35.0</v>
      </c>
      <c r="D15" s="2">
        <v>1.77</v>
      </c>
      <c r="E15" s="2" t="s">
        <v>11</v>
      </c>
      <c r="F15" s="2" t="s">
        <v>28</v>
      </c>
      <c r="G15" s="2" t="s">
        <v>29</v>
      </c>
      <c r="H15" s="2">
        <v>1.0</v>
      </c>
      <c r="I15" s="2">
        <v>5.0</v>
      </c>
      <c r="J15" s="2">
        <v>21.0</v>
      </c>
    </row>
    <row r="16">
      <c r="A16" s="2">
        <v>2004.0</v>
      </c>
      <c r="B16" s="2" t="s">
        <v>25</v>
      </c>
      <c r="C16" s="2">
        <v>48.0</v>
      </c>
      <c r="D16" s="2">
        <v>1.76</v>
      </c>
      <c r="E16" s="2" t="s">
        <v>11</v>
      </c>
      <c r="F16" s="2" t="s">
        <v>30</v>
      </c>
      <c r="G16" s="2" t="s">
        <v>31</v>
      </c>
      <c r="H16" s="2">
        <v>1.0</v>
      </c>
      <c r="I16" s="2">
        <v>3.0</v>
      </c>
      <c r="J16" s="2">
        <v>30.0</v>
      </c>
    </row>
    <row r="17">
      <c r="A17" s="2">
        <v>2003.0</v>
      </c>
      <c r="B17" s="2" t="s">
        <v>25</v>
      </c>
      <c r="C17" s="2">
        <v>46.0</v>
      </c>
      <c r="D17" s="2">
        <v>1.77</v>
      </c>
      <c r="E17" s="2" t="s">
        <v>11</v>
      </c>
      <c r="F17" s="2" t="s">
        <v>32</v>
      </c>
      <c r="G17" s="2" t="s">
        <v>13</v>
      </c>
      <c r="H17" s="2">
        <v>3.0</v>
      </c>
      <c r="I17" s="2">
        <v>1.0</v>
      </c>
      <c r="J17" s="2">
        <v>26.0</v>
      </c>
    </row>
    <row r="18">
      <c r="A18" s="2">
        <v>2002.0</v>
      </c>
      <c r="B18" s="2" t="s">
        <v>10</v>
      </c>
      <c r="C18" s="2">
        <v>48.0</v>
      </c>
      <c r="D18" s="2">
        <v>1.73</v>
      </c>
      <c r="E18" s="2" t="s">
        <v>11</v>
      </c>
      <c r="F18" s="2" t="s">
        <v>30</v>
      </c>
      <c r="G18" s="2" t="s">
        <v>13</v>
      </c>
      <c r="H18" s="2">
        <v>1.0</v>
      </c>
      <c r="I18" s="2">
        <v>3.0</v>
      </c>
      <c r="J18" s="2">
        <v>30.0</v>
      </c>
    </row>
    <row r="19">
      <c r="A19" s="2">
        <v>2001.0</v>
      </c>
      <c r="B19" s="2" t="s">
        <v>25</v>
      </c>
      <c r="C19" s="2">
        <v>30.0</v>
      </c>
      <c r="D19" s="2">
        <v>1.53</v>
      </c>
      <c r="E19" s="2" t="s">
        <v>11</v>
      </c>
      <c r="F19" s="2" t="s">
        <v>16</v>
      </c>
      <c r="G19" s="2" t="s">
        <v>13</v>
      </c>
      <c r="H19" s="2">
        <v>0.0</v>
      </c>
      <c r="I19" s="2">
        <v>3.0</v>
      </c>
      <c r="J19" s="2">
        <v>28.0</v>
      </c>
    </row>
    <row r="20">
      <c r="A20" s="2">
        <v>2004.0</v>
      </c>
      <c r="B20" s="2" t="s">
        <v>10</v>
      </c>
      <c r="C20" s="2">
        <v>28.0</v>
      </c>
      <c r="D20" s="2">
        <v>1.69</v>
      </c>
      <c r="E20" s="2" t="s">
        <v>11</v>
      </c>
      <c r="F20" s="2" t="s">
        <v>32</v>
      </c>
      <c r="G20" s="2" t="s">
        <v>13</v>
      </c>
      <c r="H20" s="2">
        <v>0.0</v>
      </c>
      <c r="I20" s="2">
        <v>3.0</v>
      </c>
      <c r="J20" s="2">
        <v>24.0</v>
      </c>
    </row>
    <row r="21">
      <c r="A21" s="2">
        <v>2001.0</v>
      </c>
      <c r="B21" s="2" t="s">
        <v>10</v>
      </c>
      <c r="C21" s="2">
        <v>26.0</v>
      </c>
      <c r="D21" s="2">
        <v>1.74</v>
      </c>
      <c r="E21" s="2" t="s">
        <v>11</v>
      </c>
      <c r="F21" s="2" t="s">
        <v>33</v>
      </c>
      <c r="G21" s="2" t="s">
        <v>31</v>
      </c>
      <c r="H21" s="2">
        <v>0.0</v>
      </c>
      <c r="I21" s="2">
        <v>1.0</v>
      </c>
      <c r="J21" s="2">
        <v>28.0</v>
      </c>
    </row>
    <row r="22">
      <c r="A22" s="2">
        <v>2004.0</v>
      </c>
      <c r="B22" s="2" t="s">
        <v>10</v>
      </c>
      <c r="C22" s="2">
        <v>31.0</v>
      </c>
      <c r="D22" s="2">
        <v>1.85</v>
      </c>
      <c r="E22" s="2" t="s">
        <v>11</v>
      </c>
      <c r="F22" s="2" t="s">
        <v>34</v>
      </c>
      <c r="G22" s="2" t="s">
        <v>31</v>
      </c>
      <c r="H22" s="2">
        <v>0.0</v>
      </c>
      <c r="I22" s="2">
        <v>0.0</v>
      </c>
      <c r="J22" s="2">
        <v>22.0</v>
      </c>
    </row>
    <row r="23">
      <c r="A23" s="2">
        <v>2003.0</v>
      </c>
      <c r="B23" s="2" t="s">
        <v>25</v>
      </c>
      <c r="C23" s="2">
        <v>36.0</v>
      </c>
      <c r="D23" s="2">
        <v>1.56</v>
      </c>
      <c r="E23" s="2" t="s">
        <v>15</v>
      </c>
      <c r="F23" s="2" t="s">
        <v>16</v>
      </c>
      <c r="G23" s="2" t="s">
        <v>13</v>
      </c>
      <c r="H23" s="2">
        <v>0.0</v>
      </c>
      <c r="I23" s="2">
        <v>2.0</v>
      </c>
      <c r="J23" s="2">
        <v>23.0</v>
      </c>
    </row>
    <row r="24">
      <c r="A24" s="2">
        <v>2004.0</v>
      </c>
      <c r="B24" s="2" t="s">
        <v>10</v>
      </c>
      <c r="C24" s="2">
        <v>38.0</v>
      </c>
      <c r="D24" s="2">
        <v>1.65</v>
      </c>
      <c r="E24" s="2" t="s">
        <v>11</v>
      </c>
      <c r="F24" s="2" t="s">
        <v>16</v>
      </c>
      <c r="G24" s="2" t="s">
        <v>13</v>
      </c>
      <c r="H24" s="2">
        <v>2.0</v>
      </c>
      <c r="I24" s="2">
        <v>0.0</v>
      </c>
      <c r="J24" s="2">
        <v>20.0</v>
      </c>
    </row>
    <row r="25">
      <c r="A25" s="2">
        <v>2002.0</v>
      </c>
      <c r="B25" s="2" t="s">
        <v>25</v>
      </c>
      <c r="C25" s="2">
        <v>26.0</v>
      </c>
      <c r="D25" s="2">
        <v>1.5</v>
      </c>
      <c r="E25" s="2" t="s">
        <v>11</v>
      </c>
      <c r="F25" s="2" t="s">
        <v>35</v>
      </c>
      <c r="G25" s="2" t="s">
        <v>13</v>
      </c>
      <c r="H25" s="2">
        <v>0.0</v>
      </c>
      <c r="I25" s="2">
        <v>5.0</v>
      </c>
      <c r="J25" s="2">
        <v>29.0</v>
      </c>
    </row>
    <row r="26">
      <c r="A26" s="2">
        <v>2003.0</v>
      </c>
      <c r="B26" s="2" t="s">
        <v>25</v>
      </c>
      <c r="C26" s="2">
        <v>49.0</v>
      </c>
      <c r="D26" s="2">
        <v>1.52</v>
      </c>
      <c r="E26" s="2" t="s">
        <v>15</v>
      </c>
      <c r="F26" s="2" t="s">
        <v>36</v>
      </c>
      <c r="G26" s="2" t="s">
        <v>13</v>
      </c>
      <c r="H26" s="2">
        <v>1.0</v>
      </c>
      <c r="I26" s="2">
        <v>2.0</v>
      </c>
      <c r="J26" s="2">
        <v>21.0</v>
      </c>
    </row>
    <row r="27">
      <c r="A27" s="2">
        <v>2003.0</v>
      </c>
      <c r="B27" s="2" t="s">
        <v>25</v>
      </c>
      <c r="C27" s="2">
        <v>29.0</v>
      </c>
      <c r="D27" s="2">
        <v>1.68</v>
      </c>
      <c r="E27" s="2" t="s">
        <v>11</v>
      </c>
      <c r="F27" s="2" t="s">
        <v>28</v>
      </c>
      <c r="G27" s="2" t="s">
        <v>29</v>
      </c>
      <c r="H27" s="2">
        <v>0.0</v>
      </c>
      <c r="I27" s="2">
        <v>0.0</v>
      </c>
      <c r="J27" s="2">
        <v>26.0</v>
      </c>
    </row>
    <row r="28">
      <c r="A28" s="2">
        <v>2003.0</v>
      </c>
      <c r="B28" s="2" t="s">
        <v>10</v>
      </c>
      <c r="C28" s="2">
        <v>47.0</v>
      </c>
      <c r="D28" s="2">
        <v>1.74</v>
      </c>
      <c r="E28" s="2" t="s">
        <v>15</v>
      </c>
      <c r="F28" s="2" t="s">
        <v>16</v>
      </c>
      <c r="G28" s="2" t="s">
        <v>13</v>
      </c>
      <c r="H28" s="2">
        <v>1.0</v>
      </c>
      <c r="I28" s="2">
        <v>2.0</v>
      </c>
      <c r="J28" s="2">
        <v>25.0</v>
      </c>
    </row>
    <row r="29">
      <c r="A29" s="2">
        <v>2002.0</v>
      </c>
      <c r="B29" s="2" t="s">
        <v>25</v>
      </c>
      <c r="C29" s="2">
        <v>32.0</v>
      </c>
      <c r="D29" s="3">
        <v>1.7</v>
      </c>
      <c r="E29" s="2" t="s">
        <v>11</v>
      </c>
      <c r="F29" s="2" t="s">
        <v>37</v>
      </c>
      <c r="G29" s="2" t="s">
        <v>13</v>
      </c>
      <c r="H29" s="2">
        <v>0.0</v>
      </c>
      <c r="I29" s="2">
        <v>2.0</v>
      </c>
      <c r="J29" s="2">
        <v>28.0</v>
      </c>
    </row>
    <row r="30">
      <c r="A30" s="2">
        <v>2001.0</v>
      </c>
      <c r="B30" s="2" t="s">
        <v>10</v>
      </c>
      <c r="C30" s="2">
        <v>29.0</v>
      </c>
      <c r="D30" s="2">
        <v>1.75</v>
      </c>
      <c r="E30" s="2" t="s">
        <v>15</v>
      </c>
      <c r="F30" s="2" t="s">
        <v>38</v>
      </c>
      <c r="G30" s="2" t="s">
        <v>39</v>
      </c>
      <c r="H30" s="2">
        <v>0.0</v>
      </c>
      <c r="I30" s="2">
        <v>2.0</v>
      </c>
      <c r="J30" s="2">
        <v>24.0</v>
      </c>
    </row>
    <row r="31">
      <c r="A31" s="2">
        <v>2003.0</v>
      </c>
      <c r="B31" s="2" t="s">
        <v>25</v>
      </c>
      <c r="C31" s="2">
        <v>30.0</v>
      </c>
      <c r="D31" s="2">
        <v>1.54</v>
      </c>
      <c r="E31" s="2" t="s">
        <v>11</v>
      </c>
      <c r="F31" s="2" t="s">
        <v>30</v>
      </c>
      <c r="G31" s="2" t="s">
        <v>31</v>
      </c>
      <c r="H31" s="2">
        <v>0.0</v>
      </c>
      <c r="I31" s="2">
        <v>3.0</v>
      </c>
      <c r="J31" s="2">
        <v>30.0</v>
      </c>
    </row>
    <row r="32">
      <c r="A32" s="2">
        <v>2003.0</v>
      </c>
      <c r="B32" s="2" t="s">
        <v>10</v>
      </c>
      <c r="C32" s="2">
        <v>25.0</v>
      </c>
      <c r="D32" s="2">
        <v>1.7</v>
      </c>
      <c r="E32" s="2" t="s">
        <v>40</v>
      </c>
      <c r="F32" s="2" t="s">
        <v>41</v>
      </c>
      <c r="G32" s="2" t="s">
        <v>21</v>
      </c>
      <c r="H32" s="2">
        <v>0.0</v>
      </c>
      <c r="I32" s="2">
        <v>1.0</v>
      </c>
      <c r="J32" s="2">
        <v>20.0</v>
      </c>
    </row>
    <row r="33">
      <c r="A33" s="2">
        <v>2003.0</v>
      </c>
      <c r="B33" s="2" t="s">
        <v>10</v>
      </c>
      <c r="C33" s="2">
        <v>34.0</v>
      </c>
      <c r="D33" s="2">
        <v>1.8</v>
      </c>
      <c r="E33" s="2" t="s">
        <v>11</v>
      </c>
      <c r="F33" s="2" t="s">
        <v>16</v>
      </c>
      <c r="G33" s="2" t="s">
        <v>31</v>
      </c>
      <c r="H33" s="2">
        <v>0.0</v>
      </c>
      <c r="I33" s="2">
        <v>0.0</v>
      </c>
      <c r="J33" s="2">
        <v>20.0</v>
      </c>
    </row>
    <row r="34">
      <c r="A34" s="2">
        <v>2003.0</v>
      </c>
      <c r="B34" s="2" t="s">
        <v>10</v>
      </c>
      <c r="C34" s="2">
        <v>37.0</v>
      </c>
      <c r="D34" s="2">
        <v>1.86</v>
      </c>
      <c r="E34" s="2" t="s">
        <v>42</v>
      </c>
      <c r="F34" s="2" t="s">
        <v>16</v>
      </c>
      <c r="G34" s="2" t="s">
        <v>13</v>
      </c>
      <c r="H34" s="2">
        <v>0.0</v>
      </c>
      <c r="I34" s="2">
        <v>1.0</v>
      </c>
      <c r="J34" s="2">
        <v>21.0</v>
      </c>
    </row>
    <row r="35">
      <c r="A35" s="2">
        <v>2001.0</v>
      </c>
      <c r="B35" s="2" t="s">
        <v>25</v>
      </c>
      <c r="C35" s="2">
        <v>30.0</v>
      </c>
      <c r="D35" s="2">
        <v>1.53</v>
      </c>
      <c r="E35" s="2" t="s">
        <v>11</v>
      </c>
      <c r="F35" s="2" t="s">
        <v>43</v>
      </c>
      <c r="G35" s="2" t="s">
        <v>13</v>
      </c>
      <c r="H35" s="2">
        <v>0.0</v>
      </c>
      <c r="I35" s="2">
        <v>3.0</v>
      </c>
      <c r="J35" s="2">
        <v>28.0</v>
      </c>
    </row>
    <row r="36">
      <c r="A36" s="2">
        <v>2002.0</v>
      </c>
      <c r="B36" s="2" t="s">
        <v>10</v>
      </c>
      <c r="C36" s="2">
        <v>37.0</v>
      </c>
      <c r="D36" s="2">
        <v>1.73</v>
      </c>
      <c r="E36" s="2" t="s">
        <v>11</v>
      </c>
      <c r="F36" s="2" t="s">
        <v>44</v>
      </c>
      <c r="G36" s="2" t="s">
        <v>13</v>
      </c>
      <c r="H36" s="2">
        <v>2.0</v>
      </c>
      <c r="I36" s="2">
        <v>2.0</v>
      </c>
      <c r="J36" s="2">
        <v>29.0</v>
      </c>
    </row>
    <row r="37">
      <c r="A37" s="2">
        <v>2002.0</v>
      </c>
      <c r="B37" s="2" t="s">
        <v>10</v>
      </c>
      <c r="C37" s="2">
        <v>30.0</v>
      </c>
      <c r="D37" s="2">
        <v>1.72</v>
      </c>
      <c r="E37" s="2" t="s">
        <v>11</v>
      </c>
      <c r="F37" s="2" t="s">
        <v>45</v>
      </c>
      <c r="G37" s="2" t="s">
        <v>13</v>
      </c>
      <c r="H37" s="2">
        <v>0.0</v>
      </c>
      <c r="I37" s="2">
        <v>3.0</v>
      </c>
      <c r="J37" s="2">
        <v>20.0</v>
      </c>
    </row>
    <row r="38">
      <c r="A38" s="2">
        <v>2009.0</v>
      </c>
      <c r="B38" s="2" t="s">
        <v>10</v>
      </c>
      <c r="C38" s="2">
        <v>40.0</v>
      </c>
      <c r="D38" s="2">
        <v>1.6</v>
      </c>
      <c r="E38" s="2" t="s">
        <v>11</v>
      </c>
      <c r="F38" s="2" t="s">
        <v>16</v>
      </c>
      <c r="G38" s="2" t="s">
        <v>31</v>
      </c>
      <c r="H38" s="2">
        <v>1.0</v>
      </c>
      <c r="I38" s="2">
        <v>1.0</v>
      </c>
      <c r="J38" s="2">
        <v>28.0</v>
      </c>
    </row>
    <row r="39">
      <c r="A39" s="2">
        <v>2007.0</v>
      </c>
      <c r="B39" s="2" t="s">
        <v>10</v>
      </c>
      <c r="C39" s="2">
        <v>25.0</v>
      </c>
      <c r="D39" s="2">
        <v>1.76</v>
      </c>
      <c r="E39" s="2" t="s">
        <v>11</v>
      </c>
      <c r="F39" s="2" t="s">
        <v>43</v>
      </c>
      <c r="G39" s="2" t="s">
        <v>13</v>
      </c>
      <c r="H39" s="2">
        <v>0.0</v>
      </c>
      <c r="I39" s="2">
        <v>1.0</v>
      </c>
      <c r="J39" s="2">
        <v>37.0</v>
      </c>
    </row>
    <row r="40">
      <c r="A40" s="2">
        <v>2006.0</v>
      </c>
      <c r="B40" s="2" t="s">
        <v>10</v>
      </c>
      <c r="C40" s="2">
        <v>34.0</v>
      </c>
      <c r="D40" s="2">
        <v>1.68</v>
      </c>
      <c r="E40" s="2" t="s">
        <v>11</v>
      </c>
      <c r="F40" s="2" t="s">
        <v>16</v>
      </c>
      <c r="G40" s="2" t="s">
        <v>13</v>
      </c>
      <c r="H40" s="2">
        <v>0.0</v>
      </c>
      <c r="I40" s="2">
        <v>1.0</v>
      </c>
      <c r="J40" s="2">
        <v>20.0</v>
      </c>
    </row>
    <row r="41">
      <c r="A41" s="2">
        <v>2006.0</v>
      </c>
      <c r="B41" s="2" t="s">
        <v>10</v>
      </c>
      <c r="C41" s="2">
        <v>39.0</v>
      </c>
      <c r="D41" s="2">
        <v>1.74</v>
      </c>
      <c r="E41" s="2" t="s">
        <v>11</v>
      </c>
      <c r="F41" s="2" t="s">
        <v>16</v>
      </c>
      <c r="G41" s="2" t="s">
        <v>31</v>
      </c>
      <c r="H41" s="2">
        <v>0.0</v>
      </c>
      <c r="I41" s="2">
        <v>2.0</v>
      </c>
      <c r="J41" s="2">
        <v>20.0</v>
      </c>
    </row>
    <row r="42">
      <c r="A42" s="2">
        <v>2007.0</v>
      </c>
      <c r="B42" s="2" t="s">
        <v>10</v>
      </c>
      <c r="C42" s="2">
        <v>25.0</v>
      </c>
      <c r="D42" s="2">
        <v>1.69</v>
      </c>
      <c r="E42" s="2" t="s">
        <v>11</v>
      </c>
      <c r="F42" s="2" t="s">
        <v>45</v>
      </c>
      <c r="G42" s="2" t="s">
        <v>13</v>
      </c>
      <c r="H42" s="2">
        <v>0.0</v>
      </c>
      <c r="I42" s="2">
        <v>1.0</v>
      </c>
      <c r="J42" s="2">
        <v>19.0</v>
      </c>
    </row>
    <row r="43">
      <c r="A43" s="2">
        <v>2005.0</v>
      </c>
      <c r="B43" s="2" t="s">
        <v>10</v>
      </c>
      <c r="C43" s="2">
        <v>26.0</v>
      </c>
      <c r="D43" s="2">
        <v>1.7</v>
      </c>
      <c r="E43" s="2" t="s">
        <v>11</v>
      </c>
      <c r="F43" s="2" t="s">
        <v>46</v>
      </c>
      <c r="G43" s="2" t="s">
        <v>31</v>
      </c>
      <c r="H43" s="2">
        <v>0.0</v>
      </c>
      <c r="I43" s="2">
        <v>0.0</v>
      </c>
      <c r="J43" s="2">
        <v>24.0</v>
      </c>
    </row>
    <row r="44">
      <c r="A44" s="2">
        <v>2005.0</v>
      </c>
      <c r="B44" s="2" t="s">
        <v>25</v>
      </c>
      <c r="C44" s="2">
        <v>25.0</v>
      </c>
      <c r="D44" s="2">
        <v>1.62</v>
      </c>
      <c r="E44" s="2" t="s">
        <v>11</v>
      </c>
      <c r="F44" s="2" t="s">
        <v>47</v>
      </c>
      <c r="G44" s="2" t="s">
        <v>13</v>
      </c>
      <c r="H44" s="2">
        <v>0.0</v>
      </c>
      <c r="I44" s="2">
        <v>3.0</v>
      </c>
      <c r="J44" s="2">
        <v>21.0</v>
      </c>
    </row>
    <row r="45">
      <c r="A45" s="2">
        <v>2006.0</v>
      </c>
      <c r="B45" s="2" t="s">
        <v>25</v>
      </c>
      <c r="C45" s="2">
        <v>31.0</v>
      </c>
      <c r="D45" s="2">
        <v>1.58</v>
      </c>
      <c r="E45" s="2" t="s">
        <v>11</v>
      </c>
      <c r="F45" s="2" t="s">
        <v>48</v>
      </c>
      <c r="G45" s="2" t="s">
        <v>13</v>
      </c>
      <c r="H45" s="2">
        <v>1.0</v>
      </c>
      <c r="I45" s="2">
        <v>1.0</v>
      </c>
      <c r="J45" s="2">
        <v>26.0</v>
      </c>
    </row>
    <row r="46">
      <c r="A46" s="2">
        <v>2006.0</v>
      </c>
      <c r="B46" s="2" t="s">
        <v>10</v>
      </c>
      <c r="C46" s="2">
        <v>45.0</v>
      </c>
      <c r="D46" s="2">
        <v>1.7</v>
      </c>
      <c r="E46" s="2" t="s">
        <v>11</v>
      </c>
      <c r="F46" s="2" t="s">
        <v>49</v>
      </c>
      <c r="G46" s="2" t="s">
        <v>50</v>
      </c>
      <c r="H46" s="2">
        <v>2.0</v>
      </c>
      <c r="I46" s="2">
        <v>0.0</v>
      </c>
      <c r="J46" s="2">
        <v>25.0</v>
      </c>
    </row>
    <row r="47">
      <c r="A47" s="2">
        <v>2006.0</v>
      </c>
      <c r="B47" s="2" t="s">
        <v>10</v>
      </c>
      <c r="C47" s="2">
        <v>42.0</v>
      </c>
      <c r="D47" s="2">
        <v>1.68</v>
      </c>
      <c r="E47" s="2" t="s">
        <v>11</v>
      </c>
      <c r="F47" s="2" t="s">
        <v>51</v>
      </c>
      <c r="G47" s="2" t="s">
        <v>13</v>
      </c>
      <c r="H47" s="2">
        <v>2.0</v>
      </c>
      <c r="I47" s="2">
        <v>1.0</v>
      </c>
      <c r="J47" s="2">
        <v>24.0</v>
      </c>
    </row>
    <row r="48">
      <c r="A48" s="2">
        <v>2007.0</v>
      </c>
      <c r="B48" s="2" t="s">
        <v>25</v>
      </c>
      <c r="C48" s="2">
        <v>38.0</v>
      </c>
      <c r="D48" s="2">
        <v>1.55</v>
      </c>
      <c r="E48" s="2" t="s">
        <v>15</v>
      </c>
      <c r="F48" s="2" t="s">
        <v>16</v>
      </c>
      <c r="G48" s="2" t="s">
        <v>13</v>
      </c>
      <c r="H48" s="2">
        <v>0.0</v>
      </c>
      <c r="I48" s="2">
        <v>1.0</v>
      </c>
      <c r="J48" s="2">
        <v>17.0</v>
      </c>
    </row>
    <row r="49">
      <c r="A49" s="2">
        <v>2006.0</v>
      </c>
      <c r="B49" s="2" t="s">
        <v>10</v>
      </c>
      <c r="C49" s="2">
        <v>39.0</v>
      </c>
      <c r="D49" s="2">
        <v>1.71</v>
      </c>
      <c r="E49" s="2" t="s">
        <v>11</v>
      </c>
      <c r="F49" s="2" t="s">
        <v>16</v>
      </c>
      <c r="G49" s="2" t="s">
        <v>13</v>
      </c>
      <c r="H49" s="2">
        <v>0.0</v>
      </c>
      <c r="I49" s="2">
        <v>0.0</v>
      </c>
      <c r="J49" s="2">
        <v>22.0</v>
      </c>
    </row>
    <row r="51">
      <c r="B51" s="2" t="s">
        <v>52</v>
      </c>
      <c r="C51" s="4">
        <f t="shared" ref="C51:D51" si="1">min(C$2:C$49)</f>
        <v>24</v>
      </c>
      <c r="D51" s="4">
        <f t="shared" si="1"/>
        <v>1.5</v>
      </c>
    </row>
    <row r="52">
      <c r="B52" s="2" t="s">
        <v>53</v>
      </c>
      <c r="C52" s="4">
        <f>max(C$2:C49)</f>
        <v>68</v>
      </c>
      <c r="D52" s="4">
        <f>MAX(D2:D49)</f>
        <v>1.9</v>
      </c>
    </row>
  </sheetData>
  <autoFilter ref="$A$1:$J$49"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14.88"/>
    <col customWidth="1" min="4" max="4" width="17.88"/>
  </cols>
  <sheetData>
    <row r="1">
      <c r="A1" s="2" t="s">
        <v>0</v>
      </c>
      <c r="B1" s="2" t="s">
        <v>54</v>
      </c>
      <c r="C1" s="2" t="s">
        <v>55</v>
      </c>
      <c r="D1" s="2" t="s">
        <v>56</v>
      </c>
    </row>
    <row r="2">
      <c r="A2" s="4">
        <f>IFERROR(__xludf.DUMMYFUNCTION("unique(Datos!A2:A49)"),2006.0)</f>
        <v>2006</v>
      </c>
      <c r="B2" s="4">
        <f>COUNTIF(Datos!A$2:A$49,A2)</f>
        <v>10</v>
      </c>
      <c r="C2" s="5">
        <f>B2/COUNTA(Datos!A$2:A$49)</f>
        <v>0.2083333333</v>
      </c>
      <c r="D2" s="4">
        <f>B2</f>
        <v>10</v>
      </c>
    </row>
    <row r="3">
      <c r="A3" s="4">
        <f>IFERROR(__xludf.DUMMYFUNCTION("""COMPUTED_VALUE"""),2005.0)</f>
        <v>2005</v>
      </c>
      <c r="B3" s="4">
        <f>COUNTIF(Datos!A$2:A$49,A3)</f>
        <v>5</v>
      </c>
      <c r="C3" s="5">
        <f>B3/COUNTA(Datos!A$2:A$49)</f>
        <v>0.1041666667</v>
      </c>
      <c r="D3" s="4">
        <f t="shared" ref="D3:D11" si="1">D2+B3</f>
        <v>15</v>
      </c>
    </row>
    <row r="4">
      <c r="A4" s="4">
        <f>IFERROR(__xludf.DUMMYFUNCTION("""COMPUTED_VALUE"""),1009.0)</f>
        <v>1009</v>
      </c>
      <c r="B4" s="4">
        <f>COUNTIF(Datos!A$2:A$49,A4)</f>
        <v>1</v>
      </c>
      <c r="C4" s="5">
        <f>B4/COUNTA(Datos!A$2:A$49)</f>
        <v>0.02083333333</v>
      </c>
      <c r="D4" s="4">
        <f t="shared" si="1"/>
        <v>16</v>
      </c>
    </row>
    <row r="5">
      <c r="A5" s="4">
        <f>IFERROR(__xludf.DUMMYFUNCTION("""COMPUTED_VALUE"""),2009.0)</f>
        <v>2009</v>
      </c>
      <c r="B5" s="4">
        <f>COUNTIF(Datos!A$2:A$49,A5)</f>
        <v>2</v>
      </c>
      <c r="C5" s="5">
        <f>B5/COUNTA(Datos!A$2:A$49)</f>
        <v>0.04166666667</v>
      </c>
      <c r="D5" s="4">
        <f t="shared" si="1"/>
        <v>18</v>
      </c>
    </row>
    <row r="6">
      <c r="A6" s="4">
        <f>IFERROR(__xludf.DUMMYFUNCTION("""COMPUTED_VALUE"""),2018.0)</f>
        <v>2018</v>
      </c>
      <c r="B6" s="4">
        <f>COUNTIF(Datos!A$2:A$49,A6)</f>
        <v>3</v>
      </c>
      <c r="C6" s="5">
        <f>B6/COUNTA(Datos!A$2:A$49)</f>
        <v>0.0625</v>
      </c>
      <c r="D6" s="4">
        <f t="shared" si="1"/>
        <v>21</v>
      </c>
    </row>
    <row r="7">
      <c r="A7" s="4">
        <f>IFERROR(__xludf.DUMMYFUNCTION("""COMPUTED_VALUE"""),2001.0)</f>
        <v>2001</v>
      </c>
      <c r="B7" s="4">
        <f>COUNTIF(Datos!A$2:A$49,A7)</f>
        <v>5</v>
      </c>
      <c r="C7" s="5">
        <f>B7/COUNTA(Datos!A$2:A$49)</f>
        <v>0.1041666667</v>
      </c>
      <c r="D7" s="4">
        <f t="shared" si="1"/>
        <v>26</v>
      </c>
    </row>
    <row r="8">
      <c r="A8" s="4">
        <f>IFERROR(__xludf.DUMMYFUNCTION("""COMPUTED_VALUE"""),2003.0)</f>
        <v>2003</v>
      </c>
      <c r="B8" s="4">
        <f>COUNTIF(Datos!A$2:A$49,A8)</f>
        <v>10</v>
      </c>
      <c r="C8" s="5">
        <f>B8/COUNTA(Datos!A$2:A$49)</f>
        <v>0.2083333333</v>
      </c>
      <c r="D8" s="4">
        <f t="shared" si="1"/>
        <v>36</v>
      </c>
    </row>
    <row r="9">
      <c r="A9" s="4">
        <f>IFERROR(__xludf.DUMMYFUNCTION("""COMPUTED_VALUE"""),2004.0)</f>
        <v>2004</v>
      </c>
      <c r="B9" s="4">
        <f>COUNTIF(Datos!A$2:A$49,A9)</f>
        <v>4</v>
      </c>
      <c r="C9" s="5">
        <f>B9/COUNTA(Datos!A$2:A$49)</f>
        <v>0.08333333333</v>
      </c>
      <c r="D9" s="4">
        <f t="shared" si="1"/>
        <v>40</v>
      </c>
    </row>
    <row r="10">
      <c r="A10" s="4">
        <f>IFERROR(__xludf.DUMMYFUNCTION("""COMPUTED_VALUE"""),2002.0)</f>
        <v>2002</v>
      </c>
      <c r="B10" s="4">
        <f>COUNTIF(Datos!A$2:A$49,A10)</f>
        <v>5</v>
      </c>
      <c r="C10" s="5">
        <f>B10/COUNTA(Datos!A$2:A$49)</f>
        <v>0.1041666667</v>
      </c>
      <c r="D10" s="4">
        <f t="shared" si="1"/>
        <v>45</v>
      </c>
    </row>
    <row r="11">
      <c r="A11" s="4">
        <f>IFERROR(__xludf.DUMMYFUNCTION("""COMPUTED_VALUE"""),2007.0)</f>
        <v>2007</v>
      </c>
      <c r="B11" s="4">
        <f>COUNTIF(Datos!A$2:A$49,A11)</f>
        <v>3</v>
      </c>
      <c r="C11" s="5">
        <f>B11/COUNTA(Datos!A$2:A$49)</f>
        <v>0.0625</v>
      </c>
      <c r="D11" s="6">
        <f t="shared" si="1"/>
        <v>48</v>
      </c>
    </row>
    <row r="12">
      <c r="B12" s="6">
        <f t="shared" ref="B12:C12" si="2">SUM(B2:B11)</f>
        <v>48</v>
      </c>
      <c r="C12" s="5">
        <f t="shared" si="2"/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15.13"/>
    <col customWidth="1" min="4" max="4" width="17.88"/>
  </cols>
  <sheetData>
    <row r="1">
      <c r="A1" s="2" t="s">
        <v>1</v>
      </c>
      <c r="B1" s="2" t="s">
        <v>54</v>
      </c>
      <c r="C1" s="2" t="s">
        <v>55</v>
      </c>
      <c r="D1" s="2" t="s">
        <v>56</v>
      </c>
    </row>
    <row r="2">
      <c r="A2" s="4" t="str">
        <f>IFERROR(__xludf.DUMMYFUNCTION("unique(Datos!B$2:B$46)"),"M")</f>
        <v>M</v>
      </c>
      <c r="B2" s="4">
        <f>COUNTIF(Datos!B$2:B$49,A2)</f>
        <v>34</v>
      </c>
      <c r="C2" s="5">
        <f>ROUND(B2/COUNTA(Datos!A$2:A$49),2)</f>
        <v>0.71</v>
      </c>
      <c r="D2" s="4">
        <f>B2</f>
        <v>34</v>
      </c>
    </row>
    <row r="3">
      <c r="A3" s="4" t="str">
        <f>IFERROR(__xludf.DUMMYFUNCTION("""COMPUTED_VALUE"""),"F")</f>
        <v>F</v>
      </c>
      <c r="B3" s="4">
        <f>COUNTIF(Datos!B$2:B$49,A3)</f>
        <v>14</v>
      </c>
      <c r="C3" s="5">
        <f>ROUND(B3/COUNTA(Datos!A$2:A$49),2)</f>
        <v>0.29</v>
      </c>
      <c r="D3" s="6">
        <f>D2+B3</f>
        <v>48</v>
      </c>
    </row>
    <row r="4">
      <c r="B4" s="6">
        <f t="shared" ref="B4:C4" si="1">SUM(B2:B3)</f>
        <v>48</v>
      </c>
      <c r="C4" s="5">
        <f t="shared" si="1"/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5.88"/>
    <col customWidth="1" min="3" max="3" width="4.88"/>
    <col customWidth="1" min="4" max="4" width="4.0"/>
  </cols>
  <sheetData>
    <row r="1">
      <c r="A1" s="2"/>
      <c r="B1" s="7"/>
      <c r="C1" s="7"/>
      <c r="D1" s="7"/>
      <c r="E1" s="7" t="s">
        <v>57</v>
      </c>
    </row>
    <row r="2">
      <c r="A2" s="2"/>
      <c r="B2" s="7"/>
      <c r="C2" s="7"/>
      <c r="D2" s="7"/>
      <c r="E2" s="8" t="s">
        <v>7</v>
      </c>
    </row>
    <row r="3">
      <c r="A3" s="2" t="s">
        <v>58</v>
      </c>
      <c r="B3" s="7" t="s">
        <v>59</v>
      </c>
      <c r="C3" s="9" t="s">
        <v>2</v>
      </c>
      <c r="E3" s="10">
        <v>0.0</v>
      </c>
      <c r="F3" s="10">
        <v>1.0</v>
      </c>
      <c r="G3" s="10">
        <v>2.0</v>
      </c>
      <c r="H3" s="10">
        <v>3.0</v>
      </c>
    </row>
    <row r="4">
      <c r="A4" s="4">
        <f>IFERROR(__xludf.DUMMYFUNCTION("unique(Datos!H2:H49)"),0.0)</f>
        <v>0</v>
      </c>
      <c r="B4" s="7" t="s">
        <v>60</v>
      </c>
      <c r="C4" s="11">
        <v>20.0</v>
      </c>
      <c r="D4" s="11">
        <v>35.0</v>
      </c>
      <c r="E4" s="4">
        <f>COUNTIFS(Datos!$H$2:$H$49,E$3, Datos!$C$2:$C$49,"&gt;="&amp;$C4, Datos!$C$2:$C$49,"&lt;="&amp;$D4)</f>
        <v>24</v>
      </c>
      <c r="F4" s="4">
        <f>COUNTIFS(Datos!$H$2:$H$49,F$3, Datos!$C$2:$C$49,"&gt;="&amp;$C4, Datos!$C$2:$C$49,"&lt;="&amp;$D4)</f>
        <v>3</v>
      </c>
      <c r="G4" s="4">
        <f>COUNTIFS(Datos!$H$2:$H$49,G$3, Datos!$C$2:$C$49,"&gt;="&amp;$C4, Datos!$C$2:$C$49,"&lt;="&amp;$D4)</f>
        <v>0</v>
      </c>
      <c r="H4" s="4">
        <f>COUNTIFS(Datos!$H$2:$H$49,H$3, Datos!$C$2:$C$49,"&gt;="&amp;$C4, Datos!$C$2:$C$49,"&lt;="&amp;$D4)</f>
        <v>0</v>
      </c>
    </row>
    <row r="5">
      <c r="A5" s="4">
        <f>IFERROR(__xludf.DUMMYFUNCTION("""COMPUTED_VALUE"""),2.0)</f>
        <v>2</v>
      </c>
      <c r="B5" s="7" t="s">
        <v>61</v>
      </c>
      <c r="C5" s="11">
        <v>36.0</v>
      </c>
      <c r="D5" s="11">
        <v>50.0</v>
      </c>
      <c r="E5" s="4">
        <f>COUNTIFS(Datos!$H$2:$H$49,E$3, Datos!$C$2:$C$49,"&gt;="&amp;$C5, Datos!$C$2:$C$49,"&lt;="&amp;$D5)</f>
        <v>7</v>
      </c>
      <c r="F5" s="4">
        <f>COUNTIFS(Datos!$H$2:$H$49,F$3, Datos!$C$2:$C$49,"&gt;="&amp;$C5, Datos!$C$2:$C$49,"&lt;="&amp;$D5)</f>
        <v>5</v>
      </c>
      <c r="G5" s="4">
        <f>COUNTIFS(Datos!$H$2:$H$49,G$3, Datos!$C$2:$C$49,"&gt;="&amp;$C5, Datos!$C$2:$C$49,"&lt;="&amp;$D5)</f>
        <v>6</v>
      </c>
      <c r="H5" s="4">
        <f>COUNTIFS(Datos!$H$2:$H$49,H$3, Datos!$C$2:$C$49,"&gt;="&amp;$C5, Datos!$C$2:$C$49,"&lt;="&amp;$D5)</f>
        <v>1</v>
      </c>
    </row>
    <row r="6">
      <c r="A6" s="4">
        <f>IFERROR(__xludf.DUMMYFUNCTION("""COMPUTED_VALUE"""),1.0)</f>
        <v>1</v>
      </c>
      <c r="B6" s="7" t="s">
        <v>62</v>
      </c>
      <c r="C6" s="11">
        <v>51.0</v>
      </c>
      <c r="D6" s="11">
        <v>70.0</v>
      </c>
      <c r="E6" s="4">
        <f>COUNTIFS(Datos!$H$2:$H$49,E$3, Datos!$C$2:$C$49,"&gt;="&amp;$C6, Datos!$C$2:$C$49,"&lt;="&amp;$D6)</f>
        <v>0</v>
      </c>
      <c r="F6" s="4">
        <f>COUNTIFS(Datos!$H$2:$H$49,F$3, Datos!$C$2:$C$49,"&gt;="&amp;$C6, Datos!$C$2:$C$49,"&lt;="&amp;$D6)</f>
        <v>0</v>
      </c>
      <c r="G6" s="4">
        <f>COUNTIFS(Datos!$H$2:$H$49,G$3, Datos!$C$2:$C$49,"&gt;="&amp;$C6, Datos!$C$2:$C$49,"&lt;="&amp;$D6)</f>
        <v>2</v>
      </c>
      <c r="H6" s="4">
        <f>COUNTIFS(Datos!$H$2:$H$49,H$3, Datos!$C$2:$C$49,"&gt;="&amp;$C6, Datos!$C$2:$C$49,"&lt;="&amp;$D6)</f>
        <v>0</v>
      </c>
    </row>
    <row r="7">
      <c r="A7" s="4">
        <f>IFERROR(__xludf.DUMMYFUNCTION("""COMPUTED_VALUE"""),3.0)</f>
        <v>3</v>
      </c>
    </row>
  </sheetData>
  <mergeCells count="3">
    <mergeCell ref="E1:H1"/>
    <mergeCell ref="E2:H2"/>
    <mergeCell ref="C3:D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5.88"/>
    <col customWidth="1" min="3" max="3" width="4.88"/>
    <col customWidth="1" min="4" max="4" width="4.0"/>
  </cols>
  <sheetData>
    <row r="1">
      <c r="A1" s="2"/>
      <c r="B1" s="7"/>
      <c r="C1" s="7"/>
      <c r="D1" s="7"/>
      <c r="E1" s="7" t="s">
        <v>57</v>
      </c>
    </row>
    <row r="2">
      <c r="A2" s="2"/>
      <c r="B2" s="7"/>
      <c r="C2" s="7"/>
      <c r="D2" s="7"/>
      <c r="E2" s="8" t="s">
        <v>8</v>
      </c>
    </row>
    <row r="3">
      <c r="A3" s="2" t="s">
        <v>63</v>
      </c>
      <c r="B3" s="7" t="s">
        <v>59</v>
      </c>
      <c r="C3" s="9" t="s">
        <v>2</v>
      </c>
      <c r="E3" s="10">
        <v>0.0</v>
      </c>
      <c r="F3" s="10">
        <v>1.0</v>
      </c>
      <c r="G3" s="10">
        <v>2.0</v>
      </c>
      <c r="H3" s="10">
        <v>3.0</v>
      </c>
      <c r="I3" s="10">
        <v>5.0</v>
      </c>
    </row>
    <row r="4">
      <c r="A4" s="4">
        <f>IFERROR(__xludf.DUMMYFUNCTION("unique(Datos!I2:I49)"),2.0)</f>
        <v>2</v>
      </c>
      <c r="B4" s="7" t="s">
        <v>60</v>
      </c>
      <c r="C4" s="11">
        <v>20.0</v>
      </c>
      <c r="D4" s="11">
        <v>35.0</v>
      </c>
      <c r="E4" s="4">
        <f>COUNTIFS(Datos!$I$2:$I$49,E$3, Datos!$C$2:$C$49,"&gt;="&amp;$C4, Datos!$C$2:$C$49,"&lt;="&amp;$D4)</f>
        <v>8</v>
      </c>
      <c r="F4" s="4">
        <f>COUNTIFS(Datos!$I$2:$I$49,F$3, Datos!$C$2:$C$49,"&gt;="&amp;$C4, Datos!$C$2:$C$49,"&lt;="&amp;$D4)</f>
        <v>6</v>
      </c>
      <c r="G4" s="4">
        <f>COUNTIFS(Datos!$I$2:$I$49,G$3, Datos!$C$2:$C$49,"&gt;="&amp;$C4, Datos!$C$2:$C$49,"&lt;="&amp;$D4)</f>
        <v>4</v>
      </c>
      <c r="H4" s="4">
        <f>COUNTIFS(Datos!$I$2:$I$49,H$3, Datos!$C$2:$C$49,"&gt;="&amp;$C4, Datos!$C$2:$C$49,"&lt;="&amp;$D4)</f>
        <v>6</v>
      </c>
      <c r="I4" s="4">
        <f>COUNTIFS(Datos!$I$2:$I$49,I$3, Datos!$C$2:$C$49,"&gt;="&amp;$C4, Datos!$C$2:$C$49,"&lt;="&amp;$D4)</f>
        <v>3</v>
      </c>
    </row>
    <row r="5">
      <c r="A5" s="4">
        <f>IFERROR(__xludf.DUMMYFUNCTION("""COMPUTED_VALUE"""),5.0)</f>
        <v>5</v>
      </c>
      <c r="B5" s="7" t="s">
        <v>61</v>
      </c>
      <c r="C5" s="11">
        <v>36.0</v>
      </c>
      <c r="D5" s="11">
        <v>50.0</v>
      </c>
      <c r="E5" s="4">
        <f>COUNTIFS(Datos!$I$2:$I$49,E$3, Datos!$C$2:$C$49,"&gt;="&amp;$C5, Datos!$C$2:$C$49,"&lt;="&amp;$D5)</f>
        <v>4</v>
      </c>
      <c r="F5" s="4">
        <f>COUNTIFS(Datos!$I$2:$I$49,F$3, Datos!$C$2:$C$49,"&gt;="&amp;$C5, Datos!$C$2:$C$49,"&lt;="&amp;$D5)</f>
        <v>5</v>
      </c>
      <c r="G5" s="4">
        <f>COUNTIFS(Datos!$I$2:$I$49,G$3, Datos!$C$2:$C$49,"&gt;="&amp;$C5, Datos!$C$2:$C$49,"&lt;="&amp;$D5)</f>
        <v>6</v>
      </c>
      <c r="H5" s="4">
        <f>COUNTIFS(Datos!$I$2:$I$49,H$3, Datos!$C$2:$C$49,"&gt;="&amp;$C5, Datos!$C$2:$C$49,"&lt;="&amp;$D5)</f>
        <v>4</v>
      </c>
      <c r="I5" s="4">
        <f>COUNTIFS(Datos!$I$2:$I$49,I$3, Datos!$C$2:$C$49,"&gt;="&amp;$C5, Datos!$C$2:$C$49,"&lt;="&amp;$D5)</f>
        <v>0</v>
      </c>
    </row>
    <row r="6">
      <c r="A6" s="4">
        <f>IFERROR(__xludf.DUMMYFUNCTION("""COMPUTED_VALUE"""),1.0)</f>
        <v>1</v>
      </c>
      <c r="B6" s="7" t="s">
        <v>62</v>
      </c>
      <c r="C6" s="11">
        <v>51.0</v>
      </c>
      <c r="D6" s="11">
        <v>70.0</v>
      </c>
      <c r="E6" s="4">
        <f>COUNTIFS(Datos!$I$2:$I$49,E$3, Datos!$C$2:$C$49,"&gt;="&amp;$C6, Datos!$C$2:$C$49,"&lt;="&amp;$D6)</f>
        <v>0</v>
      </c>
      <c r="F6" s="4">
        <f>COUNTIFS(Datos!$I$2:$I$49,F$3, Datos!$C$2:$C$49,"&gt;="&amp;$C6, Datos!$C$2:$C$49,"&lt;="&amp;$D6)</f>
        <v>2</v>
      </c>
      <c r="G6" s="4">
        <f>COUNTIFS(Datos!$I$2:$I$49,G$3, Datos!$C$2:$C$49,"&gt;="&amp;$C6, Datos!$C$2:$C$49,"&lt;="&amp;$D6)</f>
        <v>0</v>
      </c>
      <c r="H6" s="4">
        <f>COUNTIFS(Datos!$I$2:$I$49,H$3, Datos!$C$2:$C$49,"&gt;="&amp;$C6, Datos!$C$2:$C$49,"&lt;="&amp;$D6)</f>
        <v>0</v>
      </c>
      <c r="I6" s="4">
        <f>COUNTIFS(Datos!$I$2:$I$49,I$3, Datos!$C$2:$C$49,"&gt;="&amp;$C6, Datos!$C$2:$C$49,"&lt;="&amp;$D6)</f>
        <v>0</v>
      </c>
    </row>
    <row r="7">
      <c r="A7" s="4">
        <f>IFERROR(__xludf.DUMMYFUNCTION("""COMPUTED_VALUE"""),3.0)</f>
        <v>3</v>
      </c>
    </row>
    <row r="8">
      <c r="A8" s="4">
        <f>IFERROR(__xludf.DUMMYFUNCTION("""COMPUTED_VALUE"""),0.0)</f>
        <v>0</v>
      </c>
    </row>
  </sheetData>
  <mergeCells count="3">
    <mergeCell ref="E1:H1"/>
    <mergeCell ref="E2:I2"/>
    <mergeCell ref="C3:D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4.88"/>
    <col customWidth="1" min="3" max="3" width="4.75"/>
  </cols>
  <sheetData>
    <row r="1">
      <c r="A1" s="7" t="s">
        <v>59</v>
      </c>
      <c r="B1" s="9" t="s">
        <v>64</v>
      </c>
      <c r="D1" s="2" t="s">
        <v>65</v>
      </c>
    </row>
    <row r="2">
      <c r="A2" s="7" t="s">
        <v>66</v>
      </c>
      <c r="B2" s="11">
        <v>1.5</v>
      </c>
      <c r="C2" s="11">
        <v>1.57</v>
      </c>
      <c r="D2" s="4">
        <f>countifs(Datos!$D$2:$D$49,"&gt;="&amp;$B2,Datos!$D$2:$D$49, "&lt;="&amp;$C2)</f>
        <v>8</v>
      </c>
    </row>
    <row r="3">
      <c r="A3" s="7" t="s">
        <v>67</v>
      </c>
      <c r="B3" s="11">
        <v>1.58</v>
      </c>
      <c r="C3" s="11">
        <v>1.63</v>
      </c>
      <c r="D3" s="4">
        <f>countifs(Datos!$D$2:$D$49,"&gt;="&amp;$B3,Datos!$D$2:$D$49, "&lt;="&amp;$C3)</f>
        <v>4</v>
      </c>
    </row>
    <row r="4">
      <c r="A4" s="7" t="s">
        <v>68</v>
      </c>
      <c r="B4" s="11">
        <v>1.64</v>
      </c>
      <c r="C4" s="11">
        <v>1.7</v>
      </c>
      <c r="D4" s="4">
        <f>countifs(Datos!$D$2:$D$49,"&gt;="&amp;$B4,Datos!$D$2:$D$49, "&lt;="&amp;$C4)</f>
        <v>14</v>
      </c>
    </row>
    <row r="5">
      <c r="A5" s="2" t="s">
        <v>69</v>
      </c>
      <c r="B5" s="11">
        <v>1.71</v>
      </c>
      <c r="C5" s="11">
        <v>1.77</v>
      </c>
      <c r="D5" s="4">
        <f>countifs(Datos!$D$2:$D$49,"&gt;="&amp;$B5,Datos!$D$2:$D$49, "&lt;="&amp;$C5)</f>
        <v>16</v>
      </c>
    </row>
    <row r="6">
      <c r="A6" s="2" t="s">
        <v>70</v>
      </c>
      <c r="B6" s="11">
        <v>1.78</v>
      </c>
      <c r="C6" s="11">
        <v>1.83</v>
      </c>
      <c r="D6" s="4">
        <f>countifs(Datos!$D$2:$D$49,"&gt;="&amp;$B6,Datos!$D$2:$D$49, "&lt;="&amp;$C6)</f>
        <v>3</v>
      </c>
    </row>
    <row r="7">
      <c r="A7" s="2" t="s">
        <v>71</v>
      </c>
      <c r="B7" s="11">
        <v>1.84</v>
      </c>
      <c r="C7" s="11">
        <v>1.9</v>
      </c>
      <c r="D7" s="4">
        <f>countifs(Datos!$D$2:$D$49,"&gt;="&amp;$B7,Datos!$D$2:$D$49, "&lt;="&amp;$C7)</f>
        <v>3</v>
      </c>
    </row>
  </sheetData>
  <mergeCells count="1">
    <mergeCell ref="B1:C1"/>
  </mergeCells>
  <drawing r:id="rId1"/>
</worksheet>
</file>